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24da7768f005c41/Documentos/"/>
    </mc:Choice>
  </mc:AlternateContent>
  <xr:revisionPtr revIDLastSave="0" documentId="8_{B5CCDFE5-E1F9-4EDE-A0EE-2F6604B8A9B0}" xr6:coauthVersionLast="47" xr6:coauthVersionMax="47" xr10:uidLastSave="{00000000-0000-0000-0000-000000000000}"/>
  <bookViews>
    <workbookView xWindow="-108" yWindow="-108" windowWidth="23256" windowHeight="12456" xr2:uid="{23A3DBC2-22B4-449C-8309-174A629A7677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6" i="1" l="1"/>
  <c r="O26" i="1" s="1"/>
  <c r="G26" i="1"/>
  <c r="N25" i="1"/>
  <c r="O25" i="1" s="1"/>
  <c r="G25" i="1"/>
  <c r="N24" i="1"/>
  <c r="G24" i="1"/>
  <c r="O24" i="1" s="1"/>
  <c r="N23" i="1"/>
  <c r="G23" i="1"/>
  <c r="O23" i="1" s="1"/>
  <c r="N22" i="1"/>
  <c r="G22" i="1"/>
  <c r="O22" i="1" s="1"/>
  <c r="O21" i="1"/>
  <c r="N21" i="1"/>
  <c r="G21" i="1"/>
  <c r="N20" i="1"/>
  <c r="G20" i="1"/>
  <c r="O20" i="1" s="1"/>
  <c r="N19" i="1"/>
  <c r="G19" i="1"/>
  <c r="O19" i="1" s="1"/>
  <c r="N18" i="1"/>
  <c r="G18" i="1"/>
  <c r="O18" i="1" s="1"/>
  <c r="N17" i="1"/>
  <c r="G17" i="1"/>
  <c r="O17" i="1" s="1"/>
  <c r="N16" i="1"/>
  <c r="O16" i="1" s="1"/>
  <c r="G16" i="1"/>
  <c r="O15" i="1"/>
  <c r="N15" i="1"/>
  <c r="G15" i="1"/>
  <c r="N14" i="1"/>
  <c r="G14" i="1"/>
  <c r="O14" i="1" s="1"/>
  <c r="N13" i="1"/>
  <c r="G13" i="1"/>
  <c r="O13" i="1" s="1"/>
  <c r="N12" i="1"/>
  <c r="G12" i="1"/>
  <c r="O12" i="1" s="1"/>
  <c r="N11" i="1"/>
  <c r="G11" i="1"/>
  <c r="O11" i="1" s="1"/>
  <c r="N10" i="1"/>
  <c r="O10" i="1" s="1"/>
  <c r="G10" i="1"/>
  <c r="N9" i="1"/>
  <c r="G9" i="1"/>
  <c r="O9" i="1" s="1"/>
  <c r="N8" i="1"/>
  <c r="G8" i="1"/>
  <c r="O8" i="1" s="1"/>
  <c r="N7" i="1"/>
  <c r="G7" i="1"/>
  <c r="O7" i="1" s="1"/>
  <c r="N6" i="1"/>
  <c r="G6" i="1"/>
  <c r="O6" i="1" s="1"/>
  <c r="O5" i="1"/>
  <c r="N5" i="1"/>
  <c r="G5" i="1"/>
  <c r="N4" i="1"/>
  <c r="G4" i="1"/>
  <c r="O4" i="1" s="1"/>
  <c r="N3" i="1"/>
  <c r="G3" i="1"/>
  <c r="O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2" authorId="0" shapeId="0" xr:uid="{25E6EB9B-8BC1-4005-B329-B2A162E203AB}">
      <text>
        <r>
          <rPr>
            <sz val="10"/>
            <color rgb="FF000000"/>
            <rFont val="Aptos Narrow"/>
            <scheme val="minor"/>
          </rPr>
          <t>======
ID#AAAAPbbRJQk
    (2021-09-14 18:21:45)
Mede o impacto da demanda
------
ID#AAABWPTvv1E
Ralfh Alan    (2024-10-01 13:18:43)
_Marked as resolved_
------
ID#AAABWPTvv1M
Ralfh Alan    (2024-10-01 13:19:38)
_Re-opened_</t>
        </r>
      </text>
    </comment>
    <comment ref="E2" authorId="0" shapeId="0" xr:uid="{41ABC92B-D591-423A-AEBA-C749680CAE61}">
      <text>
        <r>
          <rPr>
            <sz val="10"/>
            <color rgb="FF000000"/>
            <rFont val="Aptos Narrow"/>
            <scheme val="minor"/>
          </rPr>
          <t>======
ID#AAAAPbbRJQY
    (2021-09-14 18:21:45)
Mede o tempo, ou seja, o prazo disponível para realização da demanda.</t>
        </r>
      </text>
    </comment>
    <comment ref="F2" authorId="0" shapeId="0" xr:uid="{F28EF6AD-614B-4F7B-9B7A-D536F17AA648}">
      <text>
        <r>
          <rPr>
            <sz val="10"/>
            <color rgb="FF000000"/>
            <rFont val="Aptos Narrow"/>
            <scheme val="minor"/>
          </rPr>
          <t>======
ID#AAAAPbbRJQc
    (2021-09-14 18:21:45)
Mede a probabilidade de crescimento do problema, considerando a predisposição dele piorar com o tempo.</t>
        </r>
      </text>
    </comment>
    <comment ref="G2" authorId="0" shapeId="0" xr:uid="{2DEE32BC-B81E-419F-BC0D-A64B3ABA1145}">
      <text>
        <r>
          <rPr>
            <sz val="10"/>
            <color rgb="FF000000"/>
            <rFont val="Aptos Narrow"/>
            <scheme val="minor"/>
          </rPr>
          <t>======
ID#AAAAPbbRJQo
    (2021-09-14 18:21:45)
Resultado da Gravidade X Urgência X Tendência</t>
        </r>
      </text>
    </comment>
  </commentList>
</comments>
</file>

<file path=xl/sharedStrings.xml><?xml version="1.0" encoding="utf-8"?>
<sst xmlns="http://schemas.openxmlformats.org/spreadsheetml/2006/main" count="59" uniqueCount="47">
  <si>
    <t>Id</t>
  </si>
  <si>
    <t>Descrição</t>
  </si>
  <si>
    <t>Área(s) responsável(is)</t>
  </si>
  <si>
    <t>Priorização</t>
  </si>
  <si>
    <t>GRAVIDADE</t>
  </si>
  <si>
    <t>URGÊNCIA</t>
  </si>
  <si>
    <t>TENDÊNCIA</t>
  </si>
  <si>
    <t>TOTAL GUT</t>
  </si>
  <si>
    <t>BENEFICIO</t>
  </si>
  <si>
    <t>ABRANGÊNCIA</t>
  </si>
  <si>
    <t>SATISFAÇÃO</t>
  </si>
  <si>
    <t xml:space="preserve">INVESTIMENTO </t>
  </si>
  <si>
    <t>CLIENTE</t>
  </si>
  <si>
    <t xml:space="preserve">OPERACIONAL </t>
  </si>
  <si>
    <t>TOTAL BÁSICO</t>
  </si>
  <si>
    <t>TOTAL GERAL</t>
  </si>
  <si>
    <t>A001</t>
  </si>
  <si>
    <t>Confeccionar a política de gestão de riscos em segurança da informação</t>
  </si>
  <si>
    <t>NGTIC</t>
  </si>
  <si>
    <t>A002</t>
  </si>
  <si>
    <t>Confeccionar o plano de continuidade de negócio</t>
  </si>
  <si>
    <t>A003</t>
  </si>
  <si>
    <t>Confeccionar o plano de gerenciamento dos níveis de serviços</t>
  </si>
  <si>
    <t>A004</t>
  </si>
  <si>
    <t>Confeccionar a política de gestão de ativos associados à informação e ao processamento da informação</t>
  </si>
  <si>
    <t>A005</t>
  </si>
  <si>
    <t>Confeccionar o plano de gestão de incidentes de segurança da informação</t>
  </si>
  <si>
    <t>A006</t>
  </si>
  <si>
    <t>Confeccionar a norma de gestão de configuração e ativos (de serviços de tecnologia da informação)</t>
  </si>
  <si>
    <t>Aquisição de software administrativo</t>
  </si>
  <si>
    <t>A023</t>
  </si>
  <si>
    <t>Atualizar solução de rede sem fio do campus Belém</t>
  </si>
  <si>
    <t>CTI</t>
  </si>
  <si>
    <t>A024</t>
  </si>
  <si>
    <t>Aquisição de Firewall para o Campus Belém</t>
  </si>
  <si>
    <t>A025</t>
  </si>
  <si>
    <t>Aquisição de computadores para os laboratorios do bloco J Campus Belém</t>
  </si>
  <si>
    <t>A026</t>
  </si>
  <si>
    <t>Aquisição de computadores para os laboratorios do bloco L Campus Belém</t>
  </si>
  <si>
    <t>A027</t>
  </si>
  <si>
    <t>Aquisição de computadores para os laboratorios do bloco M Campus Belém</t>
  </si>
  <si>
    <t>A028</t>
  </si>
  <si>
    <t>Aquisição de computadores para o laboratorio de Segurança no trabalho</t>
  </si>
  <si>
    <t>A029</t>
  </si>
  <si>
    <t>Atualizar parque tecnológico e adiquirir novos equipamentos (Computadores, servidores, ativos de rede, etc) -Campus Belém</t>
  </si>
  <si>
    <t>A030</t>
  </si>
  <si>
    <t>Aquisição de Licenças de software proprietários para o Campus Belém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</si>
</sst>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1"/>
      <color theme="1"/>
      <name val="Aptos Narrow"/>
      <family val="2"/>
      <scheme val="minor"/>
    </font>
    <font>
      <sz val="10"/>
      <color rgb="FF000000"/>
      <name val="Aptos Narrow"/>
      <scheme val="minor"/>
    </font>
    <font>
      <sz val="12"/>
      <color rgb="FFFFFFFF"/>
      <name val="Arial"/>
    </font>
    <font>
      <sz val="10"/>
      <name val="Arial"/>
    </font>
    <font>
      <sz val="12"/>
      <color rgb="FF000000"/>
      <name val="Arial"/>
    </font>
    <font>
      <sz val="12"/>
      <color rgb="FF1F1F1F"/>
      <name val="Arial"/>
    </font>
    <font>
      <sz val="11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rgb="FF674EA7"/>
        <bgColor rgb="FF674EA7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</fills>
  <borders count="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21">
    <xf numFmtId="0" fontId="0" fillId="0" borderId="0" xfId="0"/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/>
    </xf>
    <xf numFmtId="0" fontId="3" fillId="0" borderId="4" xfId="0" applyFont="1" applyBorder="1"/>
    <xf numFmtId="0" fontId="3" fillId="0" borderId="3" xfId="0" applyFont="1" applyBorder="1"/>
    <xf numFmtId="0" fontId="6" fillId="3" borderId="0" xfId="0" applyFont="1" applyFill="1" applyAlignment="1">
      <alignment horizontal="center"/>
    </xf>
    <xf numFmtId="0" fontId="3" fillId="0" borderId="5" xfId="0" applyFont="1" applyBorder="1"/>
    <xf numFmtId="0" fontId="2" fillId="2" borderId="6" xfId="0" applyFont="1" applyFill="1" applyBorder="1" applyAlignment="1">
      <alignment horizontal="center" wrapText="1"/>
    </xf>
    <xf numFmtId="0" fontId="4" fillId="0" borderId="6" xfId="0" applyFont="1" applyBorder="1" applyAlignment="1">
      <alignment horizontal="center"/>
    </xf>
    <xf numFmtId="0" fontId="4" fillId="0" borderId="6" xfId="0" applyFont="1" applyBorder="1" applyAlignment="1">
      <alignment horizontal="center" wrapText="1"/>
    </xf>
    <xf numFmtId="0" fontId="6" fillId="0" borderId="0" xfId="0" applyFont="1" applyAlignment="1">
      <alignment horizontal="center"/>
    </xf>
    <xf numFmtId="0" fontId="6" fillId="0" borderId="0" xfId="0" applyFont="1"/>
    <xf numFmtId="0" fontId="4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4" fillId="0" borderId="7" xfId="0" applyFont="1" applyBorder="1" applyAlignment="1">
      <alignment horizontal="center"/>
    </xf>
    <xf numFmtId="0" fontId="4" fillId="3" borderId="7" xfId="0" applyFont="1" applyFill="1" applyBorder="1" applyAlignment="1">
      <alignment horizontal="center" wrapText="1"/>
    </xf>
    <xf numFmtId="0" fontId="4" fillId="4" borderId="6" xfId="0" applyFont="1" applyFill="1" applyBorder="1" applyAlignment="1">
      <alignment horizontal="center"/>
    </xf>
    <xf numFmtId="0" fontId="4" fillId="4" borderId="6" xfId="0" applyFont="1" applyFill="1" applyBorder="1" applyAlignment="1">
      <alignment wrapText="1"/>
    </xf>
    <xf numFmtId="0" fontId="5" fillId="3" borderId="0" xfId="0" applyFont="1" applyFill="1"/>
    <xf numFmtId="0" fontId="4" fillId="3" borderId="6" xfId="0" applyFont="1" applyFill="1" applyBorder="1" applyAlignment="1">
      <alignment wrapText="1"/>
    </xf>
  </cellXfs>
  <cellStyles count="2">
    <cellStyle name="Normal" xfId="0" builtinId="0"/>
    <cellStyle name="Normal 2" xfId="1" xr:uid="{EAF556A8-2D41-430F-94C2-EC01136DBFD9}"/>
  </cellStyles>
  <dxfs count="4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 defaultTableStyle="TableStyleMedium2" defaultPivotStyle="PivotStyleLight16">
    <tableStyle name="Documentos de referência-style" pivot="0" count="4" xr9:uid="{19F54463-F0CA-4F61-A6C0-2A5FDB848F1F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4F921-F8C7-4472-A20A-47022D017207}">
  <dimension ref="A1:V26"/>
  <sheetViews>
    <sheetView tabSelected="1" workbookViewId="0">
      <selection activeCell="B10" sqref="B10"/>
    </sheetView>
  </sheetViews>
  <sheetFormatPr defaultRowHeight="14.4" x14ac:dyDescent="0.3"/>
  <cols>
    <col min="2" max="2" width="57.44140625" customWidth="1"/>
    <col min="4" max="4" width="13.77734375" customWidth="1"/>
    <col min="5" max="5" width="13.6640625" customWidth="1"/>
    <col min="6" max="6" width="17.5546875" customWidth="1"/>
    <col min="8" max="8" width="14.77734375" customWidth="1"/>
    <col min="9" max="9" width="17.109375" customWidth="1"/>
    <col min="11" max="11" width="19.88671875" customWidth="1"/>
    <col min="12" max="12" width="11.77734375" customWidth="1"/>
    <col min="13" max="13" width="17.44140625" customWidth="1"/>
    <col min="14" max="14" width="11.77734375" customWidth="1"/>
  </cols>
  <sheetData>
    <row r="1" spans="1:22" ht="15.75" customHeight="1" thickBot="1" x14ac:dyDescent="0.35">
      <c r="A1" s="1" t="s">
        <v>0</v>
      </c>
      <c r="B1" s="2" t="s">
        <v>1</v>
      </c>
      <c r="C1" s="2" t="s">
        <v>2</v>
      </c>
      <c r="D1" s="3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5"/>
      <c r="P1" s="6"/>
      <c r="Q1" s="6"/>
      <c r="R1" s="6"/>
      <c r="S1" s="6"/>
      <c r="T1" s="6"/>
      <c r="U1" s="6"/>
      <c r="V1" s="6"/>
    </row>
    <row r="2" spans="1:22" ht="15.75" customHeight="1" thickBot="1" x14ac:dyDescent="0.35">
      <c r="A2" s="7"/>
      <c r="B2" s="7"/>
      <c r="C2" s="7"/>
      <c r="D2" s="8" t="s">
        <v>4</v>
      </c>
      <c r="E2" s="8" t="s">
        <v>5</v>
      </c>
      <c r="F2" s="8" t="s">
        <v>6</v>
      </c>
      <c r="G2" s="8" t="s">
        <v>7</v>
      </c>
      <c r="H2" s="8" t="s">
        <v>8</v>
      </c>
      <c r="I2" s="8" t="s">
        <v>9</v>
      </c>
      <c r="J2" s="8" t="s">
        <v>10</v>
      </c>
      <c r="K2" s="8" t="s">
        <v>11</v>
      </c>
      <c r="L2" s="8" t="s">
        <v>12</v>
      </c>
      <c r="M2" s="8" t="s">
        <v>13</v>
      </c>
      <c r="N2" s="8" t="s">
        <v>14</v>
      </c>
      <c r="O2" s="8" t="s">
        <v>15</v>
      </c>
      <c r="P2" s="6"/>
      <c r="Q2" s="6"/>
      <c r="R2" s="6"/>
      <c r="S2" s="6"/>
      <c r="T2" s="6"/>
      <c r="U2" s="6"/>
      <c r="V2" s="6"/>
    </row>
    <row r="3" spans="1:22" ht="39" customHeight="1" thickBot="1" x14ac:dyDescent="0.35">
      <c r="A3" s="9" t="s">
        <v>16</v>
      </c>
      <c r="B3" s="10" t="s">
        <v>17</v>
      </c>
      <c r="C3" s="9" t="s">
        <v>18</v>
      </c>
      <c r="D3" s="9">
        <v>5</v>
      </c>
      <c r="E3" s="9">
        <v>5</v>
      </c>
      <c r="F3" s="9">
        <v>5</v>
      </c>
      <c r="G3" s="9">
        <f t="shared" ref="G3:G26" si="0">(D3*E3*F3)</f>
        <v>125</v>
      </c>
      <c r="H3" s="9">
        <v>4</v>
      </c>
      <c r="I3" s="9">
        <v>5</v>
      </c>
      <c r="J3" s="9">
        <v>4</v>
      </c>
      <c r="K3" s="9">
        <v>4</v>
      </c>
      <c r="L3" s="9">
        <v>5</v>
      </c>
      <c r="M3" s="9">
        <v>4</v>
      </c>
      <c r="N3" s="9">
        <f t="shared" ref="N3:N26" si="1">SUM(H3:M3)</f>
        <v>26</v>
      </c>
      <c r="O3" s="9">
        <f t="shared" ref="O3:O26" si="2">SUM(G3,N3)</f>
        <v>151</v>
      </c>
      <c r="P3" s="11"/>
      <c r="Q3" s="11"/>
      <c r="R3" s="11"/>
      <c r="S3" s="11"/>
      <c r="T3" s="11"/>
      <c r="U3" s="11"/>
      <c r="V3" s="11"/>
    </row>
    <row r="4" spans="1:22" ht="34.5" customHeight="1" thickBot="1" x14ac:dyDescent="0.35">
      <c r="A4" s="9" t="s">
        <v>19</v>
      </c>
      <c r="B4" s="10" t="s">
        <v>20</v>
      </c>
      <c r="C4" s="9" t="s">
        <v>18</v>
      </c>
      <c r="D4" s="9">
        <v>3</v>
      </c>
      <c r="E4" s="9">
        <v>2</v>
      </c>
      <c r="F4" s="9">
        <v>3</v>
      </c>
      <c r="G4" s="9">
        <f t="shared" si="0"/>
        <v>18</v>
      </c>
      <c r="H4" s="9">
        <v>3</v>
      </c>
      <c r="I4" s="9">
        <v>4</v>
      </c>
      <c r="J4" s="9">
        <v>3</v>
      </c>
      <c r="K4" s="9">
        <v>5</v>
      </c>
      <c r="L4" s="9">
        <v>4</v>
      </c>
      <c r="M4" s="9">
        <v>4</v>
      </c>
      <c r="N4" s="9">
        <f t="shared" si="1"/>
        <v>23</v>
      </c>
      <c r="O4" s="9">
        <f t="shared" si="2"/>
        <v>41</v>
      </c>
      <c r="P4" s="11"/>
      <c r="Q4" s="11"/>
      <c r="R4" s="11"/>
      <c r="S4" s="11"/>
      <c r="T4" s="11"/>
      <c r="U4" s="11"/>
      <c r="V4" s="11"/>
    </row>
    <row r="5" spans="1:22" ht="31.5" customHeight="1" thickBot="1" x14ac:dyDescent="0.35">
      <c r="A5" s="9" t="s">
        <v>21</v>
      </c>
      <c r="B5" s="10" t="s">
        <v>22</v>
      </c>
      <c r="C5" s="9" t="s">
        <v>18</v>
      </c>
      <c r="D5" s="9">
        <v>2</v>
      </c>
      <c r="E5" s="9">
        <v>2</v>
      </c>
      <c r="F5" s="9">
        <v>2</v>
      </c>
      <c r="G5" s="9">
        <f t="shared" si="0"/>
        <v>8</v>
      </c>
      <c r="H5" s="9">
        <v>3</v>
      </c>
      <c r="I5" s="9">
        <v>4</v>
      </c>
      <c r="J5" s="9">
        <v>3</v>
      </c>
      <c r="K5" s="9">
        <v>5</v>
      </c>
      <c r="L5" s="9">
        <v>3</v>
      </c>
      <c r="M5" s="9">
        <v>3</v>
      </c>
      <c r="N5" s="9">
        <f t="shared" si="1"/>
        <v>21</v>
      </c>
      <c r="O5" s="9">
        <f t="shared" si="2"/>
        <v>29</v>
      </c>
      <c r="P5" s="11"/>
      <c r="Q5" s="11"/>
      <c r="R5" s="11"/>
      <c r="S5" s="11"/>
      <c r="T5" s="11"/>
      <c r="U5" s="11"/>
      <c r="V5" s="11"/>
    </row>
    <row r="6" spans="1:22" ht="31.5" customHeight="1" thickBot="1" x14ac:dyDescent="0.35">
      <c r="A6" s="9" t="s">
        <v>23</v>
      </c>
      <c r="B6" s="10" t="s">
        <v>24</v>
      </c>
      <c r="C6" s="9" t="s">
        <v>18</v>
      </c>
      <c r="D6" s="9">
        <v>3</v>
      </c>
      <c r="E6" s="9">
        <v>2</v>
      </c>
      <c r="F6" s="9">
        <v>2</v>
      </c>
      <c r="G6" s="9">
        <f t="shared" si="0"/>
        <v>12</v>
      </c>
      <c r="H6" s="9">
        <v>3</v>
      </c>
      <c r="I6" s="9">
        <v>4</v>
      </c>
      <c r="J6" s="9">
        <v>3</v>
      </c>
      <c r="K6" s="9">
        <v>5</v>
      </c>
      <c r="L6" s="9">
        <v>3</v>
      </c>
      <c r="M6" s="9">
        <v>3</v>
      </c>
      <c r="N6" s="9">
        <f t="shared" si="1"/>
        <v>21</v>
      </c>
      <c r="O6" s="9">
        <f t="shared" si="2"/>
        <v>33</v>
      </c>
      <c r="P6" s="12"/>
      <c r="Q6" s="12"/>
      <c r="R6" s="12"/>
      <c r="S6" s="12"/>
      <c r="T6" s="12"/>
      <c r="U6" s="12"/>
      <c r="V6" s="12"/>
    </row>
    <row r="7" spans="1:22" ht="39" customHeight="1" thickBot="1" x14ac:dyDescent="0.35">
      <c r="A7" s="9" t="s">
        <v>25</v>
      </c>
      <c r="B7" s="10" t="s">
        <v>26</v>
      </c>
      <c r="C7" s="9" t="s">
        <v>18</v>
      </c>
      <c r="D7" s="9">
        <v>4</v>
      </c>
      <c r="E7" s="9">
        <v>3</v>
      </c>
      <c r="F7" s="9">
        <v>4</v>
      </c>
      <c r="G7" s="9">
        <f t="shared" si="0"/>
        <v>48</v>
      </c>
      <c r="H7" s="9">
        <v>4</v>
      </c>
      <c r="I7" s="9">
        <v>5</v>
      </c>
      <c r="J7" s="9">
        <v>4</v>
      </c>
      <c r="K7" s="9">
        <v>4</v>
      </c>
      <c r="L7" s="9">
        <v>4</v>
      </c>
      <c r="M7" s="9">
        <v>4</v>
      </c>
      <c r="N7" s="9">
        <f t="shared" si="1"/>
        <v>25</v>
      </c>
      <c r="O7" s="9">
        <f t="shared" si="2"/>
        <v>73</v>
      </c>
      <c r="P7" s="12"/>
      <c r="Q7" s="12"/>
      <c r="R7" s="12"/>
      <c r="S7" s="12"/>
      <c r="T7" s="12"/>
      <c r="U7" s="12"/>
      <c r="V7" s="12"/>
    </row>
    <row r="8" spans="1:22" ht="48" customHeight="1" x14ac:dyDescent="0.3">
      <c r="A8" s="13" t="s">
        <v>27</v>
      </c>
      <c r="B8" s="14" t="s">
        <v>28</v>
      </c>
      <c r="C8" s="13" t="s">
        <v>18</v>
      </c>
      <c r="D8" s="13">
        <v>3</v>
      </c>
      <c r="E8" s="13">
        <v>2</v>
      </c>
      <c r="F8" s="13">
        <v>2</v>
      </c>
      <c r="G8" s="13">
        <f t="shared" si="0"/>
        <v>12</v>
      </c>
      <c r="H8" s="13">
        <v>3</v>
      </c>
      <c r="I8" s="13">
        <v>4</v>
      </c>
      <c r="J8" s="13">
        <v>3</v>
      </c>
      <c r="K8" s="13">
        <v>5</v>
      </c>
      <c r="L8" s="13">
        <v>3</v>
      </c>
      <c r="M8" s="13">
        <v>3</v>
      </c>
      <c r="N8" s="13">
        <f t="shared" si="1"/>
        <v>21</v>
      </c>
      <c r="O8" s="13">
        <f t="shared" si="2"/>
        <v>33</v>
      </c>
      <c r="P8" s="12"/>
      <c r="Q8" s="12"/>
      <c r="R8" s="12"/>
      <c r="S8" s="12"/>
      <c r="T8" s="12"/>
      <c r="U8" s="12"/>
      <c r="V8" s="12"/>
    </row>
    <row r="9" spans="1:22" ht="48" customHeight="1" thickBot="1" x14ac:dyDescent="0.35">
      <c r="A9" s="15"/>
      <c r="B9" s="16" t="s">
        <v>29</v>
      </c>
      <c r="C9" s="15"/>
      <c r="D9" s="15">
        <v>5</v>
      </c>
      <c r="E9" s="15">
        <v>3</v>
      </c>
      <c r="F9" s="15">
        <v>1</v>
      </c>
      <c r="G9" s="15">
        <f t="shared" si="0"/>
        <v>15</v>
      </c>
      <c r="H9" s="15">
        <v>1</v>
      </c>
      <c r="I9" s="15">
        <v>3</v>
      </c>
      <c r="J9" s="15">
        <v>3</v>
      </c>
      <c r="K9" s="15">
        <v>3</v>
      </c>
      <c r="L9" s="15">
        <v>3</v>
      </c>
      <c r="M9" s="15">
        <v>3</v>
      </c>
      <c r="N9" s="15">
        <f t="shared" si="1"/>
        <v>16</v>
      </c>
      <c r="O9" s="15">
        <f t="shared" si="2"/>
        <v>31</v>
      </c>
      <c r="P9" s="12"/>
      <c r="Q9" s="12"/>
      <c r="R9" s="12"/>
      <c r="S9" s="12"/>
      <c r="T9" s="12"/>
      <c r="U9" s="12"/>
      <c r="V9" s="12"/>
    </row>
    <row r="10" spans="1:22" ht="15.75" customHeight="1" thickBot="1" x14ac:dyDescent="0.35">
      <c r="A10" s="17" t="s">
        <v>30</v>
      </c>
      <c r="B10" s="18" t="s">
        <v>31</v>
      </c>
      <c r="C10" s="15" t="s">
        <v>32</v>
      </c>
      <c r="D10" s="15">
        <v>3</v>
      </c>
      <c r="E10" s="15">
        <v>3</v>
      </c>
      <c r="F10" s="15">
        <v>3</v>
      </c>
      <c r="G10" s="15">
        <f t="shared" si="0"/>
        <v>27</v>
      </c>
      <c r="H10" s="15">
        <v>4</v>
      </c>
      <c r="I10" s="15">
        <v>5</v>
      </c>
      <c r="J10" s="15">
        <v>5</v>
      </c>
      <c r="K10" s="15">
        <v>2</v>
      </c>
      <c r="L10" s="15">
        <v>4</v>
      </c>
      <c r="M10" s="15">
        <v>3</v>
      </c>
      <c r="N10" s="15">
        <f t="shared" si="1"/>
        <v>23</v>
      </c>
      <c r="O10" s="15">
        <f t="shared" si="2"/>
        <v>50</v>
      </c>
    </row>
    <row r="11" spans="1:22" ht="15.75" customHeight="1" thickBot="1" x14ac:dyDescent="0.35">
      <c r="A11" s="17" t="s">
        <v>33</v>
      </c>
      <c r="B11" s="19" t="s">
        <v>34</v>
      </c>
      <c r="C11" s="15" t="s">
        <v>32</v>
      </c>
      <c r="D11" s="15">
        <v>4</v>
      </c>
      <c r="E11" s="15">
        <v>4</v>
      </c>
      <c r="F11" s="15">
        <v>4</v>
      </c>
      <c r="G11" s="15">
        <f t="shared" si="0"/>
        <v>64</v>
      </c>
      <c r="H11" s="15">
        <v>5</v>
      </c>
      <c r="I11" s="15">
        <v>5</v>
      </c>
      <c r="J11" s="15">
        <v>3</v>
      </c>
      <c r="K11" s="15">
        <v>2</v>
      </c>
      <c r="L11" s="15">
        <v>4</v>
      </c>
      <c r="M11" s="15">
        <v>3</v>
      </c>
      <c r="N11" s="15">
        <f t="shared" si="1"/>
        <v>22</v>
      </c>
      <c r="O11" s="15">
        <f t="shared" si="2"/>
        <v>86</v>
      </c>
    </row>
    <row r="12" spans="1:22" ht="15.75" customHeight="1" thickBot="1" x14ac:dyDescent="0.35">
      <c r="A12" s="17" t="s">
        <v>35</v>
      </c>
      <c r="B12" s="18" t="s">
        <v>36</v>
      </c>
      <c r="C12" s="15" t="s">
        <v>32</v>
      </c>
      <c r="D12" s="15">
        <v>3</v>
      </c>
      <c r="E12" s="15">
        <v>4</v>
      </c>
      <c r="F12" s="15">
        <v>4</v>
      </c>
      <c r="G12" s="15">
        <f t="shared" si="0"/>
        <v>48</v>
      </c>
      <c r="H12" s="15">
        <v>4</v>
      </c>
      <c r="I12" s="15">
        <v>2</v>
      </c>
      <c r="J12" s="15">
        <v>4</v>
      </c>
      <c r="K12" s="15">
        <v>2</v>
      </c>
      <c r="L12" s="15">
        <v>4</v>
      </c>
      <c r="M12" s="15">
        <v>3</v>
      </c>
      <c r="N12" s="15">
        <f t="shared" si="1"/>
        <v>19</v>
      </c>
      <c r="O12" s="15">
        <f t="shared" si="2"/>
        <v>67</v>
      </c>
    </row>
    <row r="13" spans="1:22" ht="15.75" customHeight="1" thickBot="1" x14ac:dyDescent="0.35">
      <c r="A13" s="17" t="s">
        <v>37</v>
      </c>
      <c r="B13" s="18" t="s">
        <v>38</v>
      </c>
      <c r="C13" s="15" t="s">
        <v>32</v>
      </c>
      <c r="D13" s="15">
        <v>3</v>
      </c>
      <c r="E13" s="15">
        <v>4</v>
      </c>
      <c r="F13" s="15">
        <v>4</v>
      </c>
      <c r="G13" s="15">
        <f t="shared" si="0"/>
        <v>48</v>
      </c>
      <c r="H13" s="15">
        <v>4</v>
      </c>
      <c r="I13" s="15">
        <v>2</v>
      </c>
      <c r="J13" s="15">
        <v>4</v>
      </c>
      <c r="K13" s="15">
        <v>2</v>
      </c>
      <c r="L13" s="15">
        <v>4</v>
      </c>
      <c r="M13" s="15">
        <v>3</v>
      </c>
      <c r="N13" s="15">
        <f t="shared" si="1"/>
        <v>19</v>
      </c>
      <c r="O13" s="15">
        <f t="shared" si="2"/>
        <v>67</v>
      </c>
    </row>
    <row r="14" spans="1:22" ht="15.75" customHeight="1" thickBot="1" x14ac:dyDescent="0.35">
      <c r="A14" s="17" t="s">
        <v>39</v>
      </c>
      <c r="B14" s="18" t="s">
        <v>40</v>
      </c>
      <c r="C14" s="15" t="s">
        <v>32</v>
      </c>
      <c r="D14" s="15">
        <v>3</v>
      </c>
      <c r="E14" s="15">
        <v>2</v>
      </c>
      <c r="F14" s="15">
        <v>3</v>
      </c>
      <c r="G14" s="15">
        <f t="shared" si="0"/>
        <v>18</v>
      </c>
      <c r="H14" s="15">
        <v>4</v>
      </c>
      <c r="I14" s="15">
        <v>2</v>
      </c>
      <c r="J14" s="15">
        <v>4</v>
      </c>
      <c r="K14" s="15">
        <v>2</v>
      </c>
      <c r="L14" s="15">
        <v>4</v>
      </c>
      <c r="M14" s="15">
        <v>3</v>
      </c>
      <c r="N14" s="15">
        <f t="shared" si="1"/>
        <v>19</v>
      </c>
      <c r="O14" s="15">
        <f t="shared" si="2"/>
        <v>37</v>
      </c>
    </row>
    <row r="15" spans="1:22" ht="15.75" customHeight="1" thickBot="1" x14ac:dyDescent="0.35">
      <c r="A15" s="17" t="s">
        <v>41</v>
      </c>
      <c r="B15" s="20" t="s">
        <v>42</v>
      </c>
      <c r="C15" s="15" t="s">
        <v>32</v>
      </c>
      <c r="D15" s="15">
        <v>3</v>
      </c>
      <c r="E15" s="15">
        <v>3</v>
      </c>
      <c r="F15" s="15">
        <v>3</v>
      </c>
      <c r="G15" s="15">
        <f t="shared" si="0"/>
        <v>27</v>
      </c>
      <c r="H15" s="15">
        <v>4</v>
      </c>
      <c r="I15" s="15">
        <v>1</v>
      </c>
      <c r="J15" s="15">
        <v>4</v>
      </c>
      <c r="K15" s="15">
        <v>2</v>
      </c>
      <c r="L15" s="15">
        <v>4</v>
      </c>
      <c r="M15" s="15">
        <v>3</v>
      </c>
      <c r="N15" s="15">
        <f t="shared" si="1"/>
        <v>18</v>
      </c>
      <c r="O15" s="15">
        <f t="shared" si="2"/>
        <v>45</v>
      </c>
    </row>
    <row r="16" spans="1:22" ht="15.75" customHeight="1" thickBot="1" x14ac:dyDescent="0.35">
      <c r="A16" s="17" t="s">
        <v>43</v>
      </c>
      <c r="B16" s="19" t="s">
        <v>44</v>
      </c>
      <c r="C16" s="15" t="s">
        <v>32</v>
      </c>
      <c r="D16" s="15">
        <v>3</v>
      </c>
      <c r="E16" s="15">
        <v>3</v>
      </c>
      <c r="F16" s="15">
        <v>3</v>
      </c>
      <c r="G16" s="15">
        <f t="shared" si="0"/>
        <v>27</v>
      </c>
      <c r="H16" s="15">
        <v>4</v>
      </c>
      <c r="I16" s="15">
        <v>5</v>
      </c>
      <c r="J16" s="15">
        <v>4</v>
      </c>
      <c r="K16" s="15">
        <v>2</v>
      </c>
      <c r="L16" s="15">
        <v>4</v>
      </c>
      <c r="M16" s="15">
        <v>3</v>
      </c>
      <c r="N16" s="15">
        <f t="shared" si="1"/>
        <v>22</v>
      </c>
      <c r="O16" s="15">
        <f t="shared" si="2"/>
        <v>49</v>
      </c>
    </row>
    <row r="17" spans="1:15" ht="15.75" customHeight="1" thickBot="1" x14ac:dyDescent="0.35">
      <c r="A17" s="17" t="s">
        <v>45</v>
      </c>
      <c r="B17" s="19" t="s">
        <v>46</v>
      </c>
      <c r="C17" s="15" t="s">
        <v>32</v>
      </c>
      <c r="D17" s="15">
        <v>4</v>
      </c>
      <c r="E17" s="15">
        <v>3</v>
      </c>
      <c r="F17" s="15">
        <v>3</v>
      </c>
      <c r="G17" s="15">
        <f t="shared" si="0"/>
        <v>36</v>
      </c>
      <c r="H17" s="15">
        <v>4</v>
      </c>
      <c r="I17" s="15">
        <v>5</v>
      </c>
      <c r="J17" s="15">
        <v>3</v>
      </c>
      <c r="K17" s="15">
        <v>2</v>
      </c>
      <c r="L17" s="15">
        <v>3</v>
      </c>
      <c r="M17" s="15">
        <v>3</v>
      </c>
      <c r="N17" s="15">
        <f t="shared" si="1"/>
        <v>20</v>
      </c>
      <c r="O17" s="15">
        <f t="shared" si="2"/>
        <v>56</v>
      </c>
    </row>
    <row r="18" spans="1:15" ht="15.75" customHeight="1" thickBot="1" x14ac:dyDescent="0.35">
      <c r="A18" s="17"/>
      <c r="B18" s="16"/>
      <c r="C18" s="15"/>
      <c r="D18" s="15">
        <v>1</v>
      </c>
      <c r="E18" s="15">
        <v>1</v>
      </c>
      <c r="F18" s="15">
        <v>1</v>
      </c>
      <c r="G18" s="15">
        <f t="shared" si="0"/>
        <v>1</v>
      </c>
      <c r="H18" s="15">
        <v>1</v>
      </c>
      <c r="I18" s="15">
        <v>1</v>
      </c>
      <c r="J18" s="15">
        <v>3</v>
      </c>
      <c r="K18" s="15">
        <v>3</v>
      </c>
      <c r="L18" s="15">
        <v>3</v>
      </c>
      <c r="M18" s="15">
        <v>3</v>
      </c>
      <c r="N18" s="15">
        <f t="shared" si="1"/>
        <v>14</v>
      </c>
      <c r="O18" s="15">
        <f t="shared" si="2"/>
        <v>15</v>
      </c>
    </row>
    <row r="19" spans="1:15" ht="15.75" customHeight="1" x14ac:dyDescent="0.3">
      <c r="A19" s="15"/>
      <c r="B19" s="16"/>
      <c r="C19" s="15"/>
      <c r="D19" s="15">
        <v>1</v>
      </c>
      <c r="E19" s="15">
        <v>1</v>
      </c>
      <c r="F19" s="15">
        <v>1</v>
      </c>
      <c r="G19" s="15">
        <f t="shared" si="0"/>
        <v>1</v>
      </c>
      <c r="H19" s="15">
        <v>1</v>
      </c>
      <c r="I19" s="15">
        <v>1</v>
      </c>
      <c r="J19" s="15">
        <v>3</v>
      </c>
      <c r="K19" s="15">
        <v>3</v>
      </c>
      <c r="L19" s="15">
        <v>3</v>
      </c>
      <c r="M19" s="15">
        <v>3</v>
      </c>
      <c r="N19" s="15">
        <f t="shared" si="1"/>
        <v>14</v>
      </c>
      <c r="O19" s="15">
        <f t="shared" si="2"/>
        <v>15</v>
      </c>
    </row>
    <row r="20" spans="1:15" ht="15.75" customHeight="1" x14ac:dyDescent="0.3">
      <c r="A20" s="15"/>
      <c r="B20" s="16"/>
      <c r="C20" s="15"/>
      <c r="D20" s="15">
        <v>1</v>
      </c>
      <c r="E20" s="15">
        <v>1</v>
      </c>
      <c r="F20" s="15">
        <v>1</v>
      </c>
      <c r="G20" s="15">
        <f t="shared" si="0"/>
        <v>1</v>
      </c>
      <c r="H20" s="15">
        <v>1</v>
      </c>
      <c r="I20" s="15">
        <v>1</v>
      </c>
      <c r="J20" s="15">
        <v>3</v>
      </c>
      <c r="K20" s="15">
        <v>3</v>
      </c>
      <c r="L20" s="15">
        <v>3</v>
      </c>
      <c r="M20" s="15">
        <v>3</v>
      </c>
      <c r="N20" s="15">
        <f t="shared" si="1"/>
        <v>14</v>
      </c>
      <c r="O20" s="15">
        <f t="shared" si="2"/>
        <v>15</v>
      </c>
    </row>
    <row r="21" spans="1:15" ht="15.75" customHeight="1" x14ac:dyDescent="0.3">
      <c r="A21" s="15"/>
      <c r="B21" s="16"/>
      <c r="C21" s="15"/>
      <c r="D21" s="15">
        <v>1</v>
      </c>
      <c r="E21" s="15">
        <v>1</v>
      </c>
      <c r="F21" s="15">
        <v>1</v>
      </c>
      <c r="G21" s="15">
        <f t="shared" si="0"/>
        <v>1</v>
      </c>
      <c r="H21" s="15">
        <v>1</v>
      </c>
      <c r="I21" s="15">
        <v>1</v>
      </c>
      <c r="J21" s="15">
        <v>3</v>
      </c>
      <c r="K21" s="15">
        <v>3</v>
      </c>
      <c r="L21" s="15">
        <v>3</v>
      </c>
      <c r="M21" s="15">
        <v>3</v>
      </c>
      <c r="N21" s="15">
        <f t="shared" si="1"/>
        <v>14</v>
      </c>
      <c r="O21" s="15">
        <f t="shared" si="2"/>
        <v>15</v>
      </c>
    </row>
    <row r="22" spans="1:15" ht="15.75" customHeight="1" x14ac:dyDescent="0.3">
      <c r="A22" s="15"/>
      <c r="B22" s="16"/>
      <c r="C22" s="15"/>
      <c r="D22" s="15">
        <v>1</v>
      </c>
      <c r="E22" s="15">
        <v>1</v>
      </c>
      <c r="F22" s="15">
        <v>1</v>
      </c>
      <c r="G22" s="15">
        <f t="shared" si="0"/>
        <v>1</v>
      </c>
      <c r="H22" s="15">
        <v>1</v>
      </c>
      <c r="I22" s="15">
        <v>1</v>
      </c>
      <c r="J22" s="15">
        <v>3</v>
      </c>
      <c r="K22" s="15">
        <v>3</v>
      </c>
      <c r="L22" s="15">
        <v>3</v>
      </c>
      <c r="M22" s="15">
        <v>3</v>
      </c>
      <c r="N22" s="15">
        <f t="shared" si="1"/>
        <v>14</v>
      </c>
      <c r="O22" s="15">
        <f t="shared" si="2"/>
        <v>15</v>
      </c>
    </row>
    <row r="23" spans="1:15" ht="15.75" customHeight="1" x14ac:dyDescent="0.3">
      <c r="A23" s="15"/>
      <c r="B23" s="16"/>
      <c r="C23" s="15"/>
      <c r="D23" s="15">
        <v>1</v>
      </c>
      <c r="E23" s="15">
        <v>1</v>
      </c>
      <c r="F23" s="15">
        <v>1</v>
      </c>
      <c r="G23" s="15">
        <f t="shared" si="0"/>
        <v>1</v>
      </c>
      <c r="H23" s="15">
        <v>1</v>
      </c>
      <c r="I23" s="15">
        <v>1</v>
      </c>
      <c r="J23" s="15">
        <v>3</v>
      </c>
      <c r="K23" s="15">
        <v>3</v>
      </c>
      <c r="L23" s="15">
        <v>3</v>
      </c>
      <c r="M23" s="15">
        <v>3</v>
      </c>
      <c r="N23" s="15">
        <f t="shared" si="1"/>
        <v>14</v>
      </c>
      <c r="O23" s="15">
        <f t="shared" si="2"/>
        <v>15</v>
      </c>
    </row>
    <row r="24" spans="1:15" ht="15.75" customHeight="1" x14ac:dyDescent="0.3">
      <c r="A24" s="15"/>
      <c r="B24" s="16"/>
      <c r="C24" s="15"/>
      <c r="D24" s="15">
        <v>1</v>
      </c>
      <c r="E24" s="15">
        <v>1</v>
      </c>
      <c r="F24" s="15">
        <v>1</v>
      </c>
      <c r="G24" s="15">
        <f t="shared" si="0"/>
        <v>1</v>
      </c>
      <c r="H24" s="15">
        <v>1</v>
      </c>
      <c r="I24" s="15">
        <v>1</v>
      </c>
      <c r="J24" s="15">
        <v>3</v>
      </c>
      <c r="K24" s="15">
        <v>3</v>
      </c>
      <c r="L24" s="15">
        <v>3</v>
      </c>
      <c r="M24" s="15">
        <v>3</v>
      </c>
      <c r="N24" s="15">
        <f t="shared" si="1"/>
        <v>14</v>
      </c>
      <c r="O24" s="15">
        <f t="shared" si="2"/>
        <v>15</v>
      </c>
    </row>
    <row r="25" spans="1:15" ht="15.75" customHeight="1" x14ac:dyDescent="0.3">
      <c r="A25" s="15"/>
      <c r="B25" s="16"/>
      <c r="C25" s="15"/>
      <c r="D25" s="15">
        <v>1</v>
      </c>
      <c r="E25" s="15">
        <v>1</v>
      </c>
      <c r="F25" s="15">
        <v>1</v>
      </c>
      <c r="G25" s="15">
        <f t="shared" si="0"/>
        <v>1</v>
      </c>
      <c r="H25" s="15">
        <v>1</v>
      </c>
      <c r="I25" s="15">
        <v>1</v>
      </c>
      <c r="J25" s="15">
        <v>3</v>
      </c>
      <c r="K25" s="15">
        <v>3</v>
      </c>
      <c r="L25" s="15">
        <v>3</v>
      </c>
      <c r="M25" s="15">
        <v>3</v>
      </c>
      <c r="N25" s="15">
        <f t="shared" si="1"/>
        <v>14</v>
      </c>
      <c r="O25" s="15">
        <f t="shared" si="2"/>
        <v>15</v>
      </c>
    </row>
    <row r="26" spans="1:15" ht="15.75" customHeight="1" x14ac:dyDescent="0.3">
      <c r="A26" s="15"/>
      <c r="B26" s="16"/>
      <c r="C26" s="15"/>
      <c r="D26" s="15">
        <v>1</v>
      </c>
      <c r="E26" s="15">
        <v>1</v>
      </c>
      <c r="F26" s="15">
        <v>1</v>
      </c>
      <c r="G26" s="15">
        <f t="shared" si="0"/>
        <v>1</v>
      </c>
      <c r="H26" s="15">
        <v>1</v>
      </c>
      <c r="I26" s="15">
        <v>1</v>
      </c>
      <c r="J26" s="15">
        <v>3</v>
      </c>
      <c r="K26" s="15">
        <v>3</v>
      </c>
      <c r="L26" s="15">
        <v>3</v>
      </c>
      <c r="M26" s="15">
        <v>3</v>
      </c>
      <c r="N26" s="15">
        <f t="shared" si="1"/>
        <v>14</v>
      </c>
      <c r="O26" s="15">
        <f t="shared" si="2"/>
        <v>15</v>
      </c>
    </row>
  </sheetData>
  <mergeCells count="4">
    <mergeCell ref="A1:A2"/>
    <mergeCell ref="B1:B2"/>
    <mergeCell ref="C1:C2"/>
    <mergeCell ref="D1:O1"/>
  </mergeCells>
  <pageMargins left="0.511811024" right="0.511811024" top="0.78740157499999996" bottom="0.78740157499999996" header="0.31496062000000002" footer="0.31496062000000002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Rodolfo cruz</dc:creator>
  <cp:lastModifiedBy>Rodolfo cruz</cp:lastModifiedBy>
  <dcterms:created xsi:type="dcterms:W3CDTF">2026-02-28T13:39:47Z</dcterms:created>
  <dcterms:modified xsi:type="dcterms:W3CDTF">2026-02-28T13:56:48Z</dcterms:modified>
</cp:coreProperties>
</file>