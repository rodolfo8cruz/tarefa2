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4da7768f005c41/Documentos/"/>
    </mc:Choice>
  </mc:AlternateContent>
  <xr:revisionPtr revIDLastSave="30" documentId="8_{B5CCDFE5-E1F9-4EDE-A0EE-2F6604B8A9B0}" xr6:coauthVersionLast="47" xr6:coauthVersionMax="47" xr10:uidLastSave="{4E1ADC87-DCC1-491F-8BD8-7E413C331B59}"/>
  <bookViews>
    <workbookView xWindow="-108" yWindow="-108" windowWidth="23256" windowHeight="12456" xr2:uid="{23A3DBC2-22B4-449C-8309-174A629A76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G11" i="1"/>
  <c r="O11" i="1" s="1"/>
  <c r="N10" i="1"/>
  <c r="G10" i="1"/>
  <c r="N9" i="1"/>
  <c r="G9" i="1"/>
  <c r="N8" i="1"/>
  <c r="G8" i="1"/>
  <c r="N7" i="1"/>
  <c r="G7" i="1"/>
  <c r="O7" i="1" s="1"/>
  <c r="N6" i="1"/>
  <c r="G6" i="1"/>
  <c r="N5" i="1"/>
  <c r="G5" i="1"/>
  <c r="O5" i="1" s="1"/>
  <c r="N4" i="1"/>
  <c r="G4" i="1"/>
  <c r="N3" i="1"/>
  <c r="G3" i="1"/>
  <c r="O3" i="1" s="1"/>
  <c r="O8" i="1" l="1"/>
  <c r="O9" i="1"/>
  <c r="O4" i="1"/>
  <c r="O10" i="1"/>
  <c r="O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25E6EB9B-8BC1-4005-B329-B2A162E203AB}">
      <text>
        <r>
          <rPr>
            <sz val="10"/>
            <color rgb="FF000000"/>
            <rFont val="Aptos Narrow"/>
            <scheme val="minor"/>
          </rPr>
          <t>======
ID#AAAAPbbRJQk
    (2021-09-14 18:21:45)
Mede o impacto da demanda
------
ID#AAABWPTvv1E
Ralfh Alan    (2024-10-01 13:18:43)
_Marked as resolved_
------
ID#AAABWPTvv1M
Ralfh Alan    (2024-10-01 13:19:38)
_Re-opened_</t>
        </r>
      </text>
    </comment>
    <comment ref="E2" authorId="0" shapeId="0" xr:uid="{41ABC92B-D591-423A-AEBA-C749680CAE61}">
      <text>
        <r>
          <rPr>
            <sz val="10"/>
            <color rgb="FF000000"/>
            <rFont val="Aptos Narrow"/>
            <scheme val="minor"/>
          </rPr>
          <t>======
ID#AAAAPbbRJQY
    (2021-09-14 18:21:45)
Mede o tempo, ou seja, o prazo disponível para realização da demanda.</t>
        </r>
      </text>
    </comment>
    <comment ref="F2" authorId="0" shapeId="0" xr:uid="{F28EF6AD-614B-4F7B-9B7A-D536F17AA648}">
      <text>
        <r>
          <rPr>
            <sz val="10"/>
            <color rgb="FF000000"/>
            <rFont val="Aptos Narrow"/>
            <scheme val="minor"/>
          </rPr>
          <t>======
ID#AAAAPbbRJQc
    (2021-09-14 18:21:45)
Mede a probabilidade de crescimento do problema, considerando a predisposição dele piorar com o tempo.</t>
        </r>
      </text>
    </comment>
    <comment ref="G2" authorId="0" shapeId="0" xr:uid="{2DEE32BC-B81E-419F-BC0D-A64B3ABA1145}">
      <text>
        <r>
          <rPr>
            <sz val="10"/>
            <color rgb="FF000000"/>
            <rFont val="Aptos Narrow"/>
            <scheme val="minor"/>
          </rPr>
          <t>======
ID#AAAAPbbRJQo
    (2021-09-14 18:21:45)
Resultado da Gravidade X Urgência X Tendência</t>
        </r>
      </text>
    </comment>
  </commentList>
</comments>
</file>

<file path=xl/sharedStrings.xml><?xml version="1.0" encoding="utf-8"?>
<sst xmlns="http://schemas.openxmlformats.org/spreadsheetml/2006/main" count="34" uniqueCount="26">
  <si>
    <t>Id</t>
  </si>
  <si>
    <t>Descrição</t>
  </si>
  <si>
    <t>Área(s) responsável(is)</t>
  </si>
  <si>
    <t>Priorização</t>
  </si>
  <si>
    <t>GRAVIDADE</t>
  </si>
  <si>
    <t>URGÊNCIA</t>
  </si>
  <si>
    <t>TENDÊNCIA</t>
  </si>
  <si>
    <t>TOTAL GUT</t>
  </si>
  <si>
    <t>BENEFICIO</t>
  </si>
  <si>
    <t>ABRANGÊNCIA</t>
  </si>
  <si>
    <t>SATISFAÇÃO</t>
  </si>
  <si>
    <t xml:space="preserve">INVESTIMENTO </t>
  </si>
  <si>
    <t>CLIENTE</t>
  </si>
  <si>
    <t xml:space="preserve">OPERACIONAL </t>
  </si>
  <si>
    <t>TOTAL BÁSICO</t>
  </si>
  <si>
    <t>TOTAL GERAL</t>
  </si>
  <si>
    <t>CTI</t>
  </si>
  <si>
    <t>SERVIDOR, TIPO: RACK , PROCESSADORES FÃSICOS: 2 , NÃšCLEOS POR PROCESSADOR: SUPERIOR A 20 , MEMÃ“RIA RAM: 512 GB, INTERFACE REDE LAN: 3 A 4 , INTERFACE REDE SAN: 2 , ARMAZENAMENTO SATA: SEM DISCOS SATA , ARMAZENAMENTO SAS: SEM DISCOS SAS , ARMAZENAMENTO SSD: COM DISCOS SSD , FONTE ALIMENTAÃ‡ÃƒO: REDUNDANTE (SWAP/HOT PLUG) , SISTEMA OPERACIONAL: OPEN SOURCE , GARANTIA ON SITE: SUPERIOR 48 MESES</t>
  </si>
  <si>
    <t>SERVIDOR, TIPO: TORRE , PROCESSADORES FÃSICOS: 1 , NÃšCLEOS POR PROCESSADOR: 15 A 20 , MEMÃ“RIA RAM: 64 GB, INTERFACE REDE LAN: 3 A 4 , INTERFACE REDE SAN: SEM SAN , ARMAZENAMENTO SATA: COM DISCOS SATA , ARMAZENAMENTO SAS: SEM DISCOS SAS , ARMAZENAMENTO SSD: COM DISCOS SSD , FONTE ALIMENTAÃ‡ÃƒO: SEM REDUNDÃ‚NCIA , SISTEMA OPERACIONAL: PROPRIETÃRIO , GARANTIA ON SITE: 36 MESES</t>
  </si>
  <si>
    <t xml:space="preserve">MICROCOMPUTADOR, MEMÃ“RIA RAM: SUPERIOR A 8 GB, NÃšCLEOS POR PROCESSADOR: SUPERIOR A 8 , ARMAZENAMENTO HDD: SEM DISCO HDD GB, ARMAZENAMENTO SSD: SUPERIOR A 500 , MONITOR: 21 A 29 POL, COMPONENTES ADICIONAIS: COM TECLADO E MOUSE , SISTEMA OPERACIONAL: PROPRIETÃRIO , GARANTIA ON SITE: SUPERIOR A 36 MESES, GABINETE: TORRE , OUTROS RECURSOS: CONFORME EDITAL </t>
  </si>
  <si>
    <t>SERVIDOR, TIPO: SAN - STORAGE AREA NETWORK , PROCESSADORES FÃSICOS: 4 , NÃšCLEOS POR PROCESSADOR: 8 , MEMÃ“RIA RAM: 96 GB, INTERFACE REDE LAN: SUPERIOR A 4 , INTERFACE REDE SAN: 3 A 4 , ARMAZENAMENTO SATA: COM DISCOS SATA , ARMAZENAMENTO SAS: COM DISCOS SAS , ARMAZENAMENTO SSD: COM DISCOS SSD , FONTE ALIMENTAÃ‡ÃƒO: 220VAC-50/60HZ , SISTEMA OPERACIONAL: PROPRIETÃRIO , GARANTIA ON SITE: SUPERIOR 48 MESES</t>
  </si>
  <si>
    <t xml:space="preserve">SWITCH, QUANTIDADE PORTAS: 24 UN, TIPO PORTAS: GIGABIT ETHERNET , VELOCIDADE PORTA: 1000 MBPS , ALIMENTAÃ‡ÃƒO: 110/220 V, CARACTERÃSTICAS ADICIONAIS: 50 CM DE CABO DE EMPILHAMENTO , TIPO: SWITCH GERENCIÃVEL </t>
  </si>
  <si>
    <t xml:space="preserve">UNIDADE DISCO, TIPO: DISCO SSD , CAPACIDADE: 256 GB, VELOCIDADE: 500 MB/S, CARACTERÃSTICAS ADICIONAIS: GravaÃ§Ã£o 450 MB/s </t>
  </si>
  <si>
    <t>MEMÃ“RIA RAM, REFERÃŠNCIA: PC3-12800 , APLICAÃ‡ÃƒO: MICROCOMPUTADORES , CAPACIDADE MEMÃ“RIA: 8 GB, PADRÃƒO: DDR3"</t>
  </si>
  <si>
    <t>EQUIPAMENTO WIRELESS, PADRÃƒO: IEEE 802.11ax (Wi-Fi 6) , TAXA TRANSMISSÃƒO: 574 Mbps - 1201 Mbps MBPS, FREQUÃŠNCIA: 2.4 GHz - 5 GHZ, APLICAÃ‡ÃƒO: CONTROLE DE REDE WI FI , CONEXÃƒO: RJ-45 c/PoE+ (802.3at) , CARACTERÃSTICAS ADICIONAIS: Dual-Band"</t>
  </si>
  <si>
    <t xml:space="preserve">FIREWALL, APLICAÃ‡ÃƒO: SEGURANÃ‡A REDE COMPUTADORES , MODELO: FORTIGATE- 401E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</si>
</sst>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rgb="FFFFFFFF"/>
      <name val="Arial"/>
    </font>
    <font>
      <sz val="10"/>
      <name val="Arial"/>
    </font>
    <font>
      <sz val="12"/>
      <color rgb="FF000000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5" fillId="3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/>
    <xf numFmtId="0" fontId="4" fillId="0" borderId="9" xfId="0" applyFont="1" applyBorder="1" applyAlignment="1">
      <alignment horizontal="center"/>
    </xf>
    <xf numFmtId="0" fontId="3" fillId="0" borderId="10" xfId="0" applyFont="1" applyBorder="1"/>
    <xf numFmtId="0" fontId="0" fillId="0" borderId="8" xfId="0" applyBorder="1"/>
  </cellXfs>
  <cellStyles count="2">
    <cellStyle name="Normal" xfId="0" builtinId="0"/>
    <cellStyle name="Normal 2" xfId="1" xr:uid="{EAF556A8-2D41-430F-94C2-EC01136DBFD9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Documentos de referência-style" pivot="0" count="4" xr9:uid="{19F54463-F0CA-4F61-A6C0-2A5FDB848F1F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F921-F8C7-4472-A20A-47022D017207}">
  <dimension ref="A1:V11"/>
  <sheetViews>
    <sheetView tabSelected="1" workbookViewId="0">
      <selection activeCell="D5" sqref="D5"/>
    </sheetView>
  </sheetViews>
  <sheetFormatPr defaultRowHeight="14.4" x14ac:dyDescent="0.3"/>
  <cols>
    <col min="2" max="2" width="57.44140625" customWidth="1"/>
    <col min="4" max="4" width="13.77734375" customWidth="1"/>
    <col min="5" max="5" width="13.6640625" customWidth="1"/>
    <col min="6" max="6" width="17.5546875" customWidth="1"/>
    <col min="8" max="8" width="14.77734375" customWidth="1"/>
    <col min="9" max="9" width="17.109375" customWidth="1"/>
    <col min="11" max="11" width="19.88671875" customWidth="1"/>
    <col min="12" max="12" width="11.77734375" customWidth="1"/>
    <col min="13" max="13" width="17.44140625" customWidth="1"/>
    <col min="14" max="14" width="11.77734375" customWidth="1"/>
  </cols>
  <sheetData>
    <row r="1" spans="1:22" ht="15.75" customHeight="1" thickBot="1" x14ac:dyDescent="0.35">
      <c r="A1" s="8" t="s">
        <v>0</v>
      </c>
      <c r="B1" s="10" t="s">
        <v>1</v>
      </c>
      <c r="C1" s="10" t="s">
        <v>2</v>
      </c>
      <c r="D1" s="11" t="s">
        <v>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"/>
      <c r="Q1" s="1"/>
      <c r="R1" s="1"/>
      <c r="S1" s="1"/>
      <c r="T1" s="1"/>
      <c r="U1" s="1"/>
      <c r="V1" s="1"/>
    </row>
    <row r="2" spans="1:22" ht="15.75" customHeight="1" thickBot="1" x14ac:dyDescent="0.35">
      <c r="A2" s="15"/>
      <c r="B2" s="15"/>
      <c r="C2" s="9"/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1"/>
      <c r="Q2" s="1"/>
      <c r="R2" s="1"/>
      <c r="S2" s="1"/>
      <c r="T2" s="1"/>
      <c r="U2" s="1"/>
      <c r="V2" s="1"/>
    </row>
    <row r="3" spans="1:22" ht="39" customHeight="1" thickBot="1" x14ac:dyDescent="0.35">
      <c r="A3" s="16">
        <v>628826</v>
      </c>
      <c r="B3" s="16" t="s">
        <v>17</v>
      </c>
      <c r="C3" s="14" t="s">
        <v>16</v>
      </c>
      <c r="D3" s="3">
        <v>5</v>
      </c>
      <c r="E3" s="3">
        <v>5</v>
      </c>
      <c r="F3" s="3">
        <v>5</v>
      </c>
      <c r="G3" s="3">
        <f t="shared" ref="G3:G11" si="0">(D3*E3*F3)</f>
        <v>125</v>
      </c>
      <c r="H3" s="3">
        <v>4</v>
      </c>
      <c r="I3" s="3">
        <v>5</v>
      </c>
      <c r="J3" s="3">
        <v>4</v>
      </c>
      <c r="K3" s="3">
        <v>4</v>
      </c>
      <c r="L3" s="3">
        <v>5</v>
      </c>
      <c r="M3" s="3">
        <v>4</v>
      </c>
      <c r="N3" s="3">
        <f t="shared" ref="N3:N11" si="1">SUM(H3:M3)</f>
        <v>26</v>
      </c>
      <c r="O3" s="3">
        <f t="shared" ref="O3:O11" si="2">SUM(G3,N3)</f>
        <v>151</v>
      </c>
      <c r="P3" s="4"/>
      <c r="Q3" s="4"/>
      <c r="R3" s="4"/>
      <c r="S3" s="4"/>
      <c r="T3" s="4"/>
      <c r="U3" s="4"/>
      <c r="V3" s="4"/>
    </row>
    <row r="4" spans="1:22" ht="34.5" customHeight="1" thickBot="1" x14ac:dyDescent="0.35">
      <c r="A4" s="16">
        <v>630956</v>
      </c>
      <c r="B4" s="16" t="s">
        <v>18</v>
      </c>
      <c r="C4" s="14" t="s">
        <v>16</v>
      </c>
      <c r="D4" s="3">
        <v>3</v>
      </c>
      <c r="E4" s="3">
        <v>2</v>
      </c>
      <c r="F4" s="3">
        <v>3</v>
      </c>
      <c r="G4" s="3">
        <f t="shared" si="0"/>
        <v>18</v>
      </c>
      <c r="H4" s="3">
        <v>3</v>
      </c>
      <c r="I4" s="3">
        <v>4</v>
      </c>
      <c r="J4" s="3">
        <v>3</v>
      </c>
      <c r="K4" s="3">
        <v>5</v>
      </c>
      <c r="L4" s="3">
        <v>4</v>
      </c>
      <c r="M4" s="3">
        <v>4</v>
      </c>
      <c r="N4" s="3">
        <f t="shared" si="1"/>
        <v>23</v>
      </c>
      <c r="O4" s="3">
        <f t="shared" si="2"/>
        <v>41</v>
      </c>
      <c r="P4" s="4"/>
      <c r="Q4" s="4"/>
      <c r="R4" s="4"/>
      <c r="S4" s="4"/>
      <c r="T4" s="4"/>
      <c r="U4" s="4"/>
      <c r="V4" s="4"/>
    </row>
    <row r="5" spans="1:22" ht="31.5" customHeight="1" thickBot="1" x14ac:dyDescent="0.35">
      <c r="A5" s="16">
        <v>630956</v>
      </c>
      <c r="B5" s="16" t="s">
        <v>19</v>
      </c>
      <c r="C5" s="14" t="s">
        <v>16</v>
      </c>
      <c r="D5" s="3">
        <v>2</v>
      </c>
      <c r="E5" s="3">
        <v>2</v>
      </c>
      <c r="F5" s="3">
        <v>2</v>
      </c>
      <c r="G5" s="3">
        <f t="shared" si="0"/>
        <v>8</v>
      </c>
      <c r="H5" s="3">
        <v>3</v>
      </c>
      <c r="I5" s="3">
        <v>4</v>
      </c>
      <c r="J5" s="3">
        <v>3</v>
      </c>
      <c r="K5" s="3">
        <v>5</v>
      </c>
      <c r="L5" s="3">
        <v>3</v>
      </c>
      <c r="M5" s="3">
        <v>3</v>
      </c>
      <c r="N5" s="3">
        <f t="shared" si="1"/>
        <v>21</v>
      </c>
      <c r="O5" s="3">
        <f t="shared" si="2"/>
        <v>29</v>
      </c>
      <c r="P5" s="4"/>
      <c r="Q5" s="4"/>
      <c r="R5" s="4"/>
      <c r="S5" s="4"/>
      <c r="T5" s="4"/>
      <c r="U5" s="4"/>
      <c r="V5" s="4"/>
    </row>
    <row r="6" spans="1:22" ht="31.5" customHeight="1" thickBot="1" x14ac:dyDescent="0.35">
      <c r="A6" s="16">
        <v>458073</v>
      </c>
      <c r="B6" s="16" t="s">
        <v>20</v>
      </c>
      <c r="C6" s="14" t="s">
        <v>16</v>
      </c>
      <c r="D6" s="3">
        <v>3</v>
      </c>
      <c r="E6" s="3">
        <v>2</v>
      </c>
      <c r="F6" s="3">
        <v>2</v>
      </c>
      <c r="G6" s="3">
        <f t="shared" si="0"/>
        <v>12</v>
      </c>
      <c r="H6" s="3">
        <v>3</v>
      </c>
      <c r="I6" s="3">
        <v>4</v>
      </c>
      <c r="J6" s="3">
        <v>3</v>
      </c>
      <c r="K6" s="3">
        <v>5</v>
      </c>
      <c r="L6" s="3">
        <v>3</v>
      </c>
      <c r="M6" s="3">
        <v>3</v>
      </c>
      <c r="N6" s="3">
        <f t="shared" si="1"/>
        <v>21</v>
      </c>
      <c r="O6" s="3">
        <f t="shared" si="2"/>
        <v>33</v>
      </c>
      <c r="P6" s="5"/>
      <c r="Q6" s="5"/>
      <c r="R6" s="5"/>
      <c r="S6" s="5"/>
      <c r="T6" s="5"/>
      <c r="U6" s="5"/>
      <c r="V6" s="5"/>
    </row>
    <row r="7" spans="1:22" ht="39" customHeight="1" thickBot="1" x14ac:dyDescent="0.35">
      <c r="A7" s="16">
        <v>618773</v>
      </c>
      <c r="B7" s="16" t="s">
        <v>21</v>
      </c>
      <c r="C7" s="14" t="s">
        <v>16</v>
      </c>
      <c r="D7" s="3">
        <v>4</v>
      </c>
      <c r="E7" s="3">
        <v>3</v>
      </c>
      <c r="F7" s="3">
        <v>4</v>
      </c>
      <c r="G7" s="3">
        <f t="shared" si="0"/>
        <v>48</v>
      </c>
      <c r="H7" s="3">
        <v>4</v>
      </c>
      <c r="I7" s="3">
        <v>5</v>
      </c>
      <c r="J7" s="3">
        <v>4</v>
      </c>
      <c r="K7" s="3">
        <v>4</v>
      </c>
      <c r="L7" s="3">
        <v>4</v>
      </c>
      <c r="M7" s="3">
        <v>4</v>
      </c>
      <c r="N7" s="3">
        <f t="shared" si="1"/>
        <v>25</v>
      </c>
      <c r="O7" s="3">
        <f t="shared" si="2"/>
        <v>73</v>
      </c>
      <c r="P7" s="5"/>
      <c r="Q7" s="5"/>
      <c r="R7" s="5"/>
      <c r="S7" s="5"/>
      <c r="T7" s="5"/>
      <c r="U7" s="5"/>
      <c r="V7" s="5"/>
    </row>
    <row r="8" spans="1:22" ht="48" customHeight="1" x14ac:dyDescent="0.3">
      <c r="A8" s="16">
        <v>631098</v>
      </c>
      <c r="B8" s="16" t="s">
        <v>22</v>
      </c>
      <c r="C8" s="14" t="s">
        <v>16</v>
      </c>
      <c r="D8" s="6">
        <v>3</v>
      </c>
      <c r="E8" s="6">
        <v>2</v>
      </c>
      <c r="F8" s="6">
        <v>2</v>
      </c>
      <c r="G8" s="6">
        <f t="shared" si="0"/>
        <v>12</v>
      </c>
      <c r="H8" s="6">
        <v>3</v>
      </c>
      <c r="I8" s="6">
        <v>4</v>
      </c>
      <c r="J8" s="6">
        <v>3</v>
      </c>
      <c r="K8" s="6">
        <v>5</v>
      </c>
      <c r="L8" s="6">
        <v>3</v>
      </c>
      <c r="M8" s="6">
        <v>3</v>
      </c>
      <c r="N8" s="6">
        <f t="shared" si="1"/>
        <v>21</v>
      </c>
      <c r="O8" s="6">
        <f t="shared" si="2"/>
        <v>33</v>
      </c>
      <c r="P8" s="5"/>
      <c r="Q8" s="5"/>
      <c r="R8" s="5"/>
      <c r="S8" s="5"/>
      <c r="T8" s="5"/>
      <c r="U8" s="5"/>
      <c r="V8" s="5"/>
    </row>
    <row r="9" spans="1:22" ht="48" customHeight="1" x14ac:dyDescent="0.3">
      <c r="A9" s="16">
        <v>632556</v>
      </c>
      <c r="B9" s="16" t="s">
        <v>23</v>
      </c>
      <c r="C9" s="14" t="s">
        <v>16</v>
      </c>
      <c r="D9" s="7">
        <v>5</v>
      </c>
      <c r="E9" s="7">
        <v>3</v>
      </c>
      <c r="F9" s="7">
        <v>1</v>
      </c>
      <c r="G9" s="7">
        <f t="shared" si="0"/>
        <v>15</v>
      </c>
      <c r="H9" s="7">
        <v>1</v>
      </c>
      <c r="I9" s="7">
        <v>3</v>
      </c>
      <c r="J9" s="7">
        <v>3</v>
      </c>
      <c r="K9" s="7">
        <v>3</v>
      </c>
      <c r="L9" s="7">
        <v>3</v>
      </c>
      <c r="M9" s="7">
        <v>3</v>
      </c>
      <c r="N9" s="7">
        <f t="shared" si="1"/>
        <v>16</v>
      </c>
      <c r="O9" s="7">
        <f t="shared" si="2"/>
        <v>31</v>
      </c>
      <c r="P9" s="5"/>
      <c r="Q9" s="5"/>
      <c r="R9" s="5"/>
      <c r="S9" s="5"/>
      <c r="T9" s="5"/>
      <c r="U9" s="5"/>
      <c r="V9" s="5"/>
    </row>
    <row r="10" spans="1:22" ht="15.75" customHeight="1" x14ac:dyDescent="0.3">
      <c r="A10" s="16">
        <v>632687</v>
      </c>
      <c r="B10" s="16" t="s">
        <v>24</v>
      </c>
      <c r="C10" s="14" t="s">
        <v>16</v>
      </c>
      <c r="D10" s="7">
        <v>3</v>
      </c>
      <c r="E10" s="7">
        <v>3</v>
      </c>
      <c r="F10" s="7">
        <v>3</v>
      </c>
      <c r="G10" s="7">
        <f t="shared" si="0"/>
        <v>27</v>
      </c>
      <c r="H10" s="7">
        <v>4</v>
      </c>
      <c r="I10" s="7">
        <v>5</v>
      </c>
      <c r="J10" s="7">
        <v>5</v>
      </c>
      <c r="K10" s="7">
        <v>2</v>
      </c>
      <c r="L10" s="7">
        <v>4</v>
      </c>
      <c r="M10" s="7">
        <v>3</v>
      </c>
      <c r="N10" s="7">
        <f t="shared" si="1"/>
        <v>23</v>
      </c>
      <c r="O10" s="7">
        <f t="shared" si="2"/>
        <v>50</v>
      </c>
    </row>
    <row r="11" spans="1:22" ht="15.75" customHeight="1" x14ac:dyDescent="0.3">
      <c r="A11" s="16">
        <v>607833</v>
      </c>
      <c r="B11" s="16" t="s">
        <v>25</v>
      </c>
      <c r="C11" s="14" t="s">
        <v>16</v>
      </c>
      <c r="D11" s="7">
        <v>4</v>
      </c>
      <c r="E11" s="7">
        <v>4</v>
      </c>
      <c r="F11" s="7">
        <v>4</v>
      </c>
      <c r="G11" s="7">
        <f t="shared" si="0"/>
        <v>64</v>
      </c>
      <c r="H11" s="7">
        <v>5</v>
      </c>
      <c r="I11" s="7">
        <v>5</v>
      </c>
      <c r="J11" s="7">
        <v>3</v>
      </c>
      <c r="K11" s="7">
        <v>2</v>
      </c>
      <c r="L11" s="7">
        <v>4</v>
      </c>
      <c r="M11" s="7">
        <v>3</v>
      </c>
      <c r="N11" s="7">
        <f t="shared" si="1"/>
        <v>22</v>
      </c>
      <c r="O11" s="7">
        <f t="shared" si="2"/>
        <v>86</v>
      </c>
    </row>
  </sheetData>
  <mergeCells count="4">
    <mergeCell ref="A1:A2"/>
    <mergeCell ref="B1:B2"/>
    <mergeCell ref="C1:C2"/>
    <mergeCell ref="D1:O1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cruz</dc:creator>
  <cp:lastModifiedBy>Rodolfo cruz</cp:lastModifiedBy>
  <dcterms:created xsi:type="dcterms:W3CDTF">2026-02-28T13:39:47Z</dcterms:created>
  <dcterms:modified xsi:type="dcterms:W3CDTF">2026-02-28T14:22:41Z</dcterms:modified>
</cp:coreProperties>
</file>